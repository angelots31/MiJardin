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SENA_2026\COMPTENCIAS_TERCER_TRIMESTRE\REACT_3406204\Instrumentos de Evaluación\"/>
    </mc:Choice>
  </mc:AlternateContent>
  <xr:revisionPtr revIDLastSave="0" documentId="13_ncr:1_{DA4D9FA2-C024-42E7-9712-E80E84358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Chequeo Q5" sheetId="1" r:id="rId1"/>
    <sheet name="Resumen por Categoría" sheetId="2" r:id="rId2"/>
  </sheets>
  <calcPr calcId="191029"/>
</workbook>
</file>

<file path=xl/calcChain.xml><?xml version="1.0" encoding="utf-8"?>
<calcChain xmlns="http://schemas.openxmlformats.org/spreadsheetml/2006/main">
  <c r="B10" i="1" l="1"/>
  <c r="B11" i="1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D11" i="1"/>
  <c r="D10" i="1"/>
  <c r="D9" i="2" l="1"/>
  <c r="D13" i="2"/>
  <c r="D6" i="2"/>
  <c r="D10" i="2"/>
  <c r="D14" i="2"/>
  <c r="D17" i="2"/>
  <c r="C18" i="2"/>
  <c r="D15" i="2"/>
  <c r="D7" i="2"/>
  <c r="D12" i="2"/>
  <c r="D16" i="2"/>
  <c r="D11" i="2"/>
  <c r="F10" i="1"/>
  <c r="F11" i="1" s="1"/>
  <c r="B18" i="2"/>
  <c r="D5" i="2"/>
  <c r="D8" i="2"/>
  <c r="D4" i="2"/>
  <c r="D18" i="2" l="1"/>
</calcChain>
</file>

<file path=xl/sharedStrings.xml><?xml version="1.0" encoding="utf-8"?>
<sst xmlns="http://schemas.openxmlformats.org/spreadsheetml/2006/main" count="206" uniqueCount="132">
  <si>
    <t>SENA - REGIONAL ANTIOQUIA | CENTRO DE SERVICIO Y GESTIÓN EMPRESARIAL</t>
  </si>
  <si>
    <t>LISTA DE CHEQUEO - QUINTO AVANCE: REACT + VITE + FASTAPI + BASE DE DATOS SQL + INTELIGENCIA ARTIFICIAL</t>
  </si>
  <si>
    <t>1. DATOS DEL APRENDIZ Y DEL PROGRAMA DE FORMACIÓN</t>
  </si>
  <si>
    <t>Nombre del Aprendiz:</t>
  </si>
  <si>
    <t>Fecha de Presentación:</t>
  </si>
  <si>
    <t>2026-09-14</t>
  </si>
  <si>
    <t>Documento de Identidad:</t>
  </si>
  <si>
    <t>Ficha de Caracterización:</t>
  </si>
  <si>
    <t>Programa de Formación:</t>
  </si>
  <si>
    <t>ADSO (Análisis y Desarrollo de Software)</t>
  </si>
  <si>
    <t>Trimestre / Ambiente:</t>
  </si>
  <si>
    <t>Competencia:</t>
  </si>
  <si>
    <t>React + Vite / FastAPI</t>
  </si>
  <si>
    <t>Instructor Lider:</t>
  </si>
  <si>
    <t>Jhan Hader Muñoz</t>
  </si>
  <si>
    <t>2. INDICADORES DE AVANCE Y RESUMEN DE EVALUACIÓN</t>
  </si>
  <si>
    <t>Total Requerimientos:</t>
  </si>
  <si>
    <t>Requerimientos Cumplidos:</t>
  </si>
  <si>
    <t>% de Avance del Proyecto:</t>
  </si>
  <si>
    <t>Requerimientos En Proceso:</t>
  </si>
  <si>
    <t>Requerimientos Pendientes:</t>
  </si>
  <si>
    <t>Estado de Avance:</t>
  </si>
  <si>
    <t>Valoración Final Instructor:</t>
  </si>
  <si>
    <t>Aprobado / No Aprobado</t>
  </si>
  <si>
    <t>3. LISTA DE CHEQUEO - REQUERIMIENTOS DETALLADOS DEL ENTREGABLE (REQ-01 AL REQ-26)</t>
  </si>
  <si>
    <t>No.</t>
  </si>
  <si>
    <t>Categoría / Módulo</t>
  </si>
  <si>
    <t>Requerimiento</t>
  </si>
  <si>
    <t>Detalle / Criterio de Aceptación (PDF Quinto Avance)</t>
  </si>
  <si>
    <t>Estado</t>
  </si>
  <si>
    <t>Espacio para Evidencia / Captura de Pantalla</t>
  </si>
  <si>
    <t>Observaciones del Aprendiz / Notas de Entrega</t>
  </si>
  <si>
    <t>REQ-01</t>
  </si>
  <si>
    <t>Módulo de Ventas</t>
  </si>
  <si>
    <t>Módulo de ventas</t>
  </si>
  <si>
    <t>El sistema deberá permitir registrar las ventas realizadas desde el sitio web, relacionando cliente, usuario operador, productos/servicios vendidos, cantidades, precios, descuentos, subtotal, impuestos, total, fecha/hora y estado, almacenado de manera persistente en BD SQL.</t>
  </si>
  <si>
    <t>Pendiente</t>
  </si>
  <si>
    <t>[Pegar Captura de Pantalla Aquí]</t>
  </si>
  <si>
    <t>REQ-02</t>
  </si>
  <si>
    <t>Registro de productos y servicios vendidos</t>
  </si>
  <si>
    <t>El sistema deberá identificar productos y servicios incluidos en cada venta con relación detalle-venta, permitiendo almacenar cantidades, precios y valores correspondientes a cada elemento comercializado.</t>
  </si>
  <si>
    <t>REQ-03</t>
  </si>
  <si>
    <t>Historial de ventas</t>
  </si>
  <si>
    <t>Módulo para consultar el historial de ventas registradas con criterios de búsqueda/filtrado por fecha, cliente, producto, servicio, estado y valor de la venta.</t>
  </si>
  <si>
    <t>REQ-04</t>
  </si>
  <si>
    <t>Reportes y Facturación</t>
  </si>
  <si>
    <t>Reporte diario de ventas</t>
  </si>
  <si>
    <t>Generar reporte diario de ventas con la información registrada en una fecha determinada, incluyendo fecha, número de venta, cliente, productos/servicios, cantidad, valor, total y estado.</t>
  </si>
  <si>
    <t>REQ-05</t>
  </si>
  <si>
    <t>Exportación del reporte en PDF</t>
  </si>
  <si>
    <t>Implementar la generación del reporte diario de ventas en formato PDF estructurado con nombre/ID de proyecto, fecha, información de ventas, totales y datos de generación.</t>
  </si>
  <si>
    <t>REQ-06</t>
  </si>
  <si>
    <t>Exportación del reporte en Excel</t>
  </si>
  <si>
    <t>Exportar el reporte diario de ventas en formato Excel (.xlsx) con información organizada en columnas para posterior análisis, filtrado o procesamiento de datos.</t>
  </si>
  <si>
    <t>REQ-07</t>
  </si>
  <si>
    <t>Generación de facturas de venta</t>
  </si>
  <si>
    <t>El sistema deberá generar facturas de venta a partir de operaciones comerciales con número de factura, fecha, datos del cliente, productos/servicios, cantidad, precio unitario, subtotal, impuestos, total y estado.</t>
  </si>
  <si>
    <t>REQ-08</t>
  </si>
  <si>
    <t>Consulta de facturas</t>
  </si>
  <si>
    <t>Los usuarios autorizados podrán consultar las facturas generadas mediante criterios de búsqueda como número de factura, cliente o fecha.</t>
  </si>
  <si>
    <t>REQ-09</t>
  </si>
  <si>
    <t>Descarga de facturas</t>
  </si>
  <si>
    <t>Implementar la generación o descarga de facturas comerciales en formato apropiado (preferiblemente PDF).</t>
  </si>
  <si>
    <t>REQ-10</t>
  </si>
  <si>
    <t>Dashboards y Analítica</t>
  </si>
  <si>
    <t>Dashboard administrativo</t>
  </si>
  <si>
    <t>Dashboard consolidado para el Administrador con indicadores en Cards sobre total usuarios, productos, servicios, ventas, facturación y PQR recibidas y pendientes.</t>
  </si>
  <si>
    <t>REQ-11</t>
  </si>
  <si>
    <t>Dashboard de ventas</t>
  </si>
  <si>
    <t>Visualización analítica del comportamiento de ventas mediante gráfico de barras, gráfico lineal e indicadores numéricos en Cards por día, semana o mes.</t>
  </si>
  <si>
    <t>REQ-12</t>
  </si>
  <si>
    <t>Dashboard de acuerdo con los roles</t>
  </si>
  <si>
    <t>Los Dashboards deben respetar la seguridad por roles (Administrador, Empleado, Cliente) mostrando solo la información y funcionalidades permitidas según permisos.</t>
  </si>
  <si>
    <t>REQ-13</t>
  </si>
  <si>
    <t>Filtros para los Dashboards</t>
  </si>
  <si>
    <t>Los gráficos e indicadores de los Dashboards deben permitir filtrado por fecha inicial, fecha final, producto, servicio, estado y cliente.</t>
  </si>
  <si>
    <t>REQ-14</t>
  </si>
  <si>
    <t>Backend FastAPI</t>
  </si>
  <si>
    <t>Nuevos endpoints en FastAPI</t>
  </si>
  <si>
    <t>Creación de endpoints REST en FastAPI para soportar ventas, detalle de ventas, facturas, reportes, PQR, Chatbot y estadísticas.</t>
  </si>
  <si>
    <t>REQ-15</t>
  </si>
  <si>
    <t>Backend &amp; Frontend</t>
  </si>
  <si>
    <t>Integración del Dashboard con FastAPI</t>
  </si>
  <si>
    <t>React consumirá los endpoints de FastAPI para obtener la información de la BD SQL y generar dinámicamente indicadores y gráficos (sin datos manuales 'quemados').</t>
  </si>
  <si>
    <t>REQ-16</t>
  </si>
  <si>
    <t>Módulo PQR</t>
  </si>
  <si>
    <t>Módulo de PQR (Peticiones, Quejas y Reclamos)</t>
  </si>
  <si>
    <t>Módulo para la gestión de PQR donde el cliente registra solicitudes y consulta el estado (pendiente, en proceso, respondida y cerrada).</t>
  </si>
  <si>
    <t>REQ-17</t>
  </si>
  <si>
    <t>Chatbot &amp; IA</t>
  </si>
  <si>
    <t>Chatbot para atención al cliente</t>
  </si>
  <si>
    <t>Chatbot integrado en el Frontend React para atención inicial, resolver preguntas frecuentes, orientar sobre productos/servicios, compras y recepción de PQR.</t>
  </si>
  <si>
    <t>REQ-18</t>
  </si>
  <si>
    <t>Integración del Chatbot con Inteligencia Artificial</t>
  </si>
  <si>
    <t>El Chatbot utilizará un servicio de IA (API OpenAI o equivalente) integrado preferiblemente desde FastAPI para respuestas naturales y contextualizadas.</t>
  </si>
  <si>
    <t>REQ-19</t>
  </si>
  <si>
    <t>Seguridad &amp; Config</t>
  </si>
  <si>
    <t>Gestión segura de la API Key</t>
  </si>
  <si>
    <t>Configuración de la API Key del servicio de IA mediante variables de entorno (.env local), manteniéndola privada sin publicar en GitHub ni en código fuente.</t>
  </si>
  <si>
    <t>REQ-20</t>
  </si>
  <si>
    <t>Despliegue en la Nube</t>
  </si>
  <si>
    <t>Integración completa y despliegue del proyecto</t>
  </si>
  <si>
    <t>Despliegue de la aplicación Full Stack en la nube (Railway u otra plataforma), configurando URLs, CORS, variables de entorno, BD SQL y presentando la URL pública activa con evidencias.</t>
  </si>
  <si>
    <t>REQ-21</t>
  </si>
  <si>
    <t>Base de Datos SQL</t>
  </si>
  <si>
    <t>Evolución de la Base de Datos SQL</t>
  </si>
  <si>
    <t>Ampliación del modelo relacional SQL incluyendo las entidades: ventas, detalle_ventas, facturas, detalle_facturas, pqr, conversaciones, mensajes y sus relaciones foráneas.</t>
  </si>
  <si>
    <t>REQ-22</t>
  </si>
  <si>
    <t>Modelos y Esquemas FastAPI para Quinto Avance</t>
  </si>
  <si>
    <t>Nuevos modelos ORM (SQLAlchemy) y esquemas Pydantic para la validación de peticiones/respuestas de las nuevas entidades comerciales y de IA.</t>
  </si>
  <si>
    <t>REQ-23</t>
  </si>
  <si>
    <t>Frontend React</t>
  </si>
  <si>
    <t>Componentes Reutilizables en React + Vite</t>
  </si>
  <si>
    <t>Desarrollo de nuevos componentes React integrados visualmente con el diseño previo, gestionando estados e interacción con las APIs del backend.</t>
  </si>
  <si>
    <t>REQ-24</t>
  </si>
  <si>
    <t>Seguridad</t>
  </si>
  <si>
    <t>Seguridad Integral y Protección de Endpoints</t>
  </si>
  <si>
    <t>Verificación JWT en peticiones, control estricto de roles en BE, hashing de contraseñas (bcrypt), protección de credenciales y variables de entorno .env.</t>
  </si>
  <si>
    <t>REQ-25</t>
  </si>
  <si>
    <t>Pruebas &amp; Evidencias</t>
  </si>
  <si>
    <t>Pruebas de Endpoints con Postman</t>
  </si>
  <si>
    <t>Demostración de pruebas funcionales mediante Postman (GET, POST, PUT, PATCH, DELETE) sobre los nuevos endpoints de ventas, facturas, PQR y chatbot IA.</t>
  </si>
  <si>
    <t>Documentación</t>
  </si>
  <si>
    <t>URL del Drive o GitHub del Entregable:</t>
  </si>
  <si>
    <t>Versión del Instrumento: 2.0 | Quinto Entregable React + FastAPI + IA | Generado: 2026-09-14</t>
  </si>
  <si>
    <t>Nota: Este archivo es una herramienta de autoevaluación académica ajustada al Quinto Avance para el SENA ADSO Ficha 3406204.</t>
  </si>
  <si>
    <t>RESUMEN EJECUTIVO DE REQUERIMIENTOS POR CATEGORÍA</t>
  </si>
  <si>
    <t>Total Requerimientos</t>
  </si>
  <si>
    <t>Cumplidos</t>
  </si>
  <si>
    <t>% Cumplimiento</t>
  </si>
  <si>
    <t>TOTAL GENERAL</t>
  </si>
  <si>
    <t xml:space="preserve">03 / 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</si>
</sst>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sz val="10"/>
      <name val="Calibri"/>
    </font>
    <font>
      <b/>
      <sz val="12"/>
      <color rgb="FF1B4D3E"/>
      <name val="Calibri"/>
    </font>
    <font>
      <i/>
      <sz val="9"/>
      <color rgb="FF555555"/>
      <name val="Calibri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F9FBE7"/>
        <bgColor rgb="FFF9FBE7"/>
      </patternFill>
    </fill>
    <fill>
      <patternFill patternType="solid">
        <fgColor theme="6" tint="0.59999389629810485"/>
        <bgColor rgb="FFE8F5E9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0" fillId="0" borderId="3" xfId="0" applyBorder="1"/>
    <xf numFmtId="0" fontId="4" fillId="0" borderId="3" xfId="0" applyFont="1" applyBorder="1" applyAlignment="1">
      <alignment horizontal="left"/>
    </xf>
    <xf numFmtId="0" fontId="5" fillId="0" borderId="3" xfId="0" applyFont="1" applyBorder="1"/>
    <xf numFmtId="0" fontId="4" fillId="0" borderId="3" xfId="0" applyFont="1" applyBorder="1"/>
    <xf numFmtId="0" fontId="4" fillId="5" borderId="3" xfId="0" applyFont="1" applyFill="1" applyBorder="1" applyAlignment="1">
      <alignment horizontal="center"/>
    </xf>
    <xf numFmtId="164" fontId="6" fillId="5" borderId="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  <xf numFmtId="0" fontId="3" fillId="3" borderId="3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Distribución de Requerimientos por Categoría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por Categoría'!$B$3</c:f>
              <c:strCache>
                <c:ptCount val="1"/>
                <c:pt idx="0">
                  <c:v>Total Requerimientos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por Categoría'!$A$4:$A$17</c:f>
              <c:strCache>
                <c:ptCount val="14"/>
                <c:pt idx="0">
                  <c:v>Módulo de Ventas</c:v>
                </c:pt>
                <c:pt idx="1">
                  <c:v>Reportes y Facturación</c:v>
                </c:pt>
                <c:pt idx="2">
                  <c:v>Dashboards y Analítica</c:v>
                </c:pt>
                <c:pt idx="3">
                  <c:v>Backend FastAPI</c:v>
                </c:pt>
                <c:pt idx="4">
                  <c:v>Backend &amp; Frontend</c:v>
                </c:pt>
                <c:pt idx="5">
                  <c:v>Módulo PQR</c:v>
                </c:pt>
                <c:pt idx="6">
                  <c:v>Chatbot &amp; IA</c:v>
                </c:pt>
                <c:pt idx="7">
                  <c:v>Seguridad &amp; Config</c:v>
                </c:pt>
                <c:pt idx="8">
                  <c:v>Despliegue en la Nube</c:v>
                </c:pt>
                <c:pt idx="9">
                  <c:v>Base de Datos SQL</c:v>
                </c:pt>
                <c:pt idx="10">
                  <c:v>Frontend React</c:v>
                </c:pt>
                <c:pt idx="11">
                  <c:v>Seguridad</c:v>
                </c:pt>
                <c:pt idx="12">
                  <c:v>Pruebas &amp; Evidencias</c:v>
                </c:pt>
                <c:pt idx="13">
                  <c:v>Documentación</c:v>
                </c:pt>
              </c:strCache>
            </c:strRef>
          </c:cat>
          <c:val>
            <c:numRef>
              <c:f>'Resumen por Categoría'!$B$4:$B$17</c:f>
              <c:numCache>
                <c:formatCode>General</c:formatCode>
                <c:ptCount val="14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882-9744-4DF53D6C8962}"/>
            </c:ext>
          </c:extLst>
        </c:ser>
        <c:ser>
          <c:idx val="1"/>
          <c:order val="1"/>
          <c:tx>
            <c:strRef>
              <c:f>'Resumen por Categoría'!$C$3</c:f>
              <c:strCache>
                <c:ptCount val="1"/>
                <c:pt idx="0">
                  <c:v>Cumplidos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por Categoría'!$A$4:$A$17</c:f>
              <c:strCache>
                <c:ptCount val="14"/>
                <c:pt idx="0">
                  <c:v>Módulo de Ventas</c:v>
                </c:pt>
                <c:pt idx="1">
                  <c:v>Reportes y Facturación</c:v>
                </c:pt>
                <c:pt idx="2">
                  <c:v>Dashboards y Analítica</c:v>
                </c:pt>
                <c:pt idx="3">
                  <c:v>Backend FastAPI</c:v>
                </c:pt>
                <c:pt idx="4">
                  <c:v>Backend &amp; Frontend</c:v>
                </c:pt>
                <c:pt idx="5">
                  <c:v>Módulo PQR</c:v>
                </c:pt>
                <c:pt idx="6">
                  <c:v>Chatbot &amp; IA</c:v>
                </c:pt>
                <c:pt idx="7">
                  <c:v>Seguridad &amp; Config</c:v>
                </c:pt>
                <c:pt idx="8">
                  <c:v>Despliegue en la Nube</c:v>
                </c:pt>
                <c:pt idx="9">
                  <c:v>Base de Datos SQL</c:v>
                </c:pt>
                <c:pt idx="10">
                  <c:v>Frontend React</c:v>
                </c:pt>
                <c:pt idx="11">
                  <c:v>Seguridad</c:v>
                </c:pt>
                <c:pt idx="12">
                  <c:v>Pruebas &amp; Evidencias</c:v>
                </c:pt>
                <c:pt idx="13">
                  <c:v>Documentación</c:v>
                </c:pt>
              </c:strCache>
            </c:strRef>
          </c:cat>
          <c:val>
            <c:numRef>
              <c:f>'Resumen por Categoría'!$C$4:$C$17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9-4882-9744-4DF53D6C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Módulo / Categoría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Cantidad de Requerimientos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117765</xdr:colOff>
      <xdr:row>0</xdr:row>
      <xdr:rowOff>55419</xdr:rowOff>
    </xdr:from>
    <xdr:to>
      <xdr:col>0</xdr:col>
      <xdr:colOff>631753</xdr:colOff>
      <xdr:row>1</xdr:row>
      <xdr:rowOff>235528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245A20-98ED-D225-65E8-C42545288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65" y="55419"/>
          <a:ext cx="513988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="110" zoomScaleNormal="110" workbookViewId="0">
      <selection activeCell="C15" sqref="C15"/>
    </sheetView>
  </sheetViews>
  <sheetFormatPr baseColWidth="10" defaultColWidth="8.88671875" defaultRowHeight="14.4" x14ac:dyDescent="0.3"/>
  <cols>
    <col min="1" max="1" width="28" customWidth="1"/>
    <col min="2" max="2" width="22" customWidth="1"/>
    <col min="3" max="3" width="42.21875" customWidth="1"/>
    <col min="4" max="4" width="55" customWidth="1"/>
    <col min="5" max="5" width="16" hidden="1" customWidth="1"/>
    <col min="6" max="6" width="52.88671875" customWidth="1"/>
    <col min="7" max="7" width="35" customWidth="1"/>
  </cols>
  <sheetData>
    <row r="1" spans="1:7" ht="28.05" customHeight="1" x14ac:dyDescent="0.3">
      <c r="A1" s="35" t="s">
        <v>0</v>
      </c>
      <c r="B1" s="36"/>
      <c r="C1" s="36"/>
      <c r="D1" s="36"/>
      <c r="E1" s="36"/>
      <c r="F1" s="36"/>
      <c r="G1" s="36"/>
    </row>
    <row r="2" spans="1:7" ht="22.05" customHeight="1" x14ac:dyDescent="0.3">
      <c r="A2" s="38" t="s">
        <v>1</v>
      </c>
      <c r="B2" s="36"/>
      <c r="C2" s="36"/>
      <c r="D2" s="36"/>
      <c r="E2" s="36"/>
      <c r="F2" s="36"/>
      <c r="G2" s="36"/>
    </row>
    <row r="3" spans="1:7" ht="7.95" customHeight="1" x14ac:dyDescent="0.3">
      <c r="A3" s="8"/>
      <c r="B3" s="8"/>
      <c r="C3" s="8"/>
      <c r="D3" s="8"/>
      <c r="E3" s="8"/>
      <c r="F3" s="8"/>
      <c r="G3" s="8"/>
    </row>
    <row r="4" spans="1:7" ht="22.05" customHeight="1" x14ac:dyDescent="0.3">
      <c r="A4" s="37" t="s">
        <v>2</v>
      </c>
      <c r="B4" s="36"/>
      <c r="C4" s="36"/>
      <c r="D4" s="36"/>
      <c r="E4" s="36"/>
      <c r="F4" s="36"/>
      <c r="G4" s="36"/>
    </row>
    <row r="5" spans="1:7" ht="19.95" customHeight="1" x14ac:dyDescent="0.3">
      <c r="A5" s="9" t="s">
        <v>3</v>
      </c>
      <c r="B5" s="39"/>
      <c r="C5" s="39"/>
      <c r="D5" s="41" t="s">
        <v>4</v>
      </c>
      <c r="E5" s="41"/>
      <c r="F5" s="34" t="s">
        <v>5</v>
      </c>
      <c r="G5" s="34"/>
    </row>
    <row r="6" spans="1:7" ht="19.95" customHeight="1" x14ac:dyDescent="0.3">
      <c r="A6" s="9" t="s">
        <v>6</v>
      </c>
      <c r="B6" s="40"/>
      <c r="C6" s="40"/>
      <c r="D6" s="41" t="s">
        <v>7</v>
      </c>
      <c r="E6" s="41"/>
      <c r="F6" s="34"/>
      <c r="G6" s="34"/>
    </row>
    <row r="7" spans="1:7" ht="19.95" customHeight="1" x14ac:dyDescent="0.3">
      <c r="A7" s="9" t="s">
        <v>8</v>
      </c>
      <c r="B7" s="10" t="s">
        <v>9</v>
      </c>
      <c r="C7" s="8"/>
      <c r="D7" s="41" t="s">
        <v>10</v>
      </c>
      <c r="E7" s="41"/>
      <c r="F7" s="34" t="s">
        <v>131</v>
      </c>
      <c r="G7" s="34"/>
    </row>
    <row r="8" spans="1:7" ht="19.95" customHeight="1" x14ac:dyDescent="0.3">
      <c r="A8" s="9" t="s">
        <v>11</v>
      </c>
      <c r="B8" s="34" t="s">
        <v>12</v>
      </c>
      <c r="C8" s="34"/>
      <c r="D8" s="41" t="s">
        <v>13</v>
      </c>
      <c r="E8" s="41"/>
      <c r="F8" s="34" t="s">
        <v>14</v>
      </c>
      <c r="G8" s="34"/>
    </row>
    <row r="9" spans="1:7" ht="22.05" customHeight="1" x14ac:dyDescent="0.3">
      <c r="A9" s="37" t="s">
        <v>15</v>
      </c>
      <c r="B9" s="36"/>
      <c r="C9" s="36"/>
      <c r="D9" s="36"/>
      <c r="E9" s="36"/>
      <c r="F9" s="36"/>
      <c r="G9" s="36"/>
    </row>
    <row r="10" spans="1:7" ht="15.6" x14ac:dyDescent="0.3">
      <c r="A10" s="11" t="s">
        <v>16</v>
      </c>
      <c r="B10" s="12">
        <f>COUNTA(A15:A39)</f>
        <v>25</v>
      </c>
      <c r="C10" s="11" t="s">
        <v>17</v>
      </c>
      <c r="D10" s="12">
        <f>COUNTIF(E14:E39, "Cumplido")</f>
        <v>0</v>
      </c>
      <c r="E10" s="11" t="s">
        <v>18</v>
      </c>
      <c r="F10" s="13">
        <f>D10/B10</f>
        <v>0</v>
      </c>
      <c r="G10" s="8"/>
    </row>
    <row r="11" spans="1:7" x14ac:dyDescent="0.3">
      <c r="A11" s="11" t="s">
        <v>19</v>
      </c>
      <c r="B11" s="14">
        <f>COUNTIF(E14:E39, "En Proceso")</f>
        <v>0</v>
      </c>
      <c r="C11" s="11" t="s">
        <v>20</v>
      </c>
      <c r="D11" s="14">
        <f>COUNTIF(E14:E39, "Pendiente")</f>
        <v>25</v>
      </c>
      <c r="E11" s="11" t="s">
        <v>21</v>
      </c>
      <c r="F11" s="15" t="str">
        <f>IF(F10&gt;=1, "COMPLETADO", IF(F10&gt;0, "EN PROCESO", "PENDIENTE REVISIÓN"))</f>
        <v>PENDIENTE REVISIÓN</v>
      </c>
      <c r="G11" s="8"/>
    </row>
    <row r="12" spans="1:7" x14ac:dyDescent="0.3">
      <c r="A12" s="11" t="s">
        <v>22</v>
      </c>
      <c r="B12" s="16" t="s">
        <v>23</v>
      </c>
      <c r="C12" s="8"/>
      <c r="D12" s="8"/>
      <c r="E12" s="8"/>
      <c r="F12" s="8"/>
      <c r="G12" s="8"/>
    </row>
    <row r="13" spans="1:7" ht="22.05" customHeight="1" x14ac:dyDescent="0.3">
      <c r="A13" s="37" t="s">
        <v>24</v>
      </c>
      <c r="B13" s="36"/>
      <c r="C13" s="36"/>
      <c r="D13" s="36"/>
      <c r="E13" s="36"/>
      <c r="F13" s="36"/>
      <c r="G13" s="36"/>
    </row>
    <row r="14" spans="1:7" ht="28.05" customHeight="1" x14ac:dyDescent="0.3">
      <c r="A14" s="17" t="s">
        <v>25</v>
      </c>
      <c r="B14" s="17" t="s">
        <v>26</v>
      </c>
      <c r="C14" s="17" t="s">
        <v>27</v>
      </c>
      <c r="D14" s="17" t="s">
        <v>28</v>
      </c>
      <c r="E14" s="17" t="s">
        <v>29</v>
      </c>
      <c r="F14" s="17" t="s">
        <v>30</v>
      </c>
      <c r="G14" s="17" t="s">
        <v>31</v>
      </c>
    </row>
    <row r="15" spans="1:7" ht="120" customHeight="1" x14ac:dyDescent="0.3">
      <c r="A15" s="24" t="s">
        <v>32</v>
      </c>
      <c r="B15" s="22" t="s">
        <v>33</v>
      </c>
      <c r="C15" s="24" t="s">
        <v>34</v>
      </c>
      <c r="D15" s="26" t="s">
        <v>35</v>
      </c>
      <c r="E15" s="18" t="s">
        <v>36</v>
      </c>
      <c r="F15" s="19" t="s">
        <v>37</v>
      </c>
      <c r="G15" s="20"/>
    </row>
    <row r="16" spans="1:7" ht="120" customHeight="1" x14ac:dyDescent="0.3">
      <c r="A16" s="25" t="s">
        <v>38</v>
      </c>
      <c r="B16" s="23" t="s">
        <v>33</v>
      </c>
      <c r="C16" s="25" t="s">
        <v>39</v>
      </c>
      <c r="D16" s="27" t="s">
        <v>40</v>
      </c>
      <c r="E16" s="18" t="s">
        <v>36</v>
      </c>
      <c r="F16" s="19" t="s">
        <v>37</v>
      </c>
      <c r="G16" s="21"/>
    </row>
    <row r="17" spans="1:7" ht="120" customHeight="1" x14ac:dyDescent="0.3">
      <c r="A17" s="24" t="s">
        <v>41</v>
      </c>
      <c r="B17" s="22" t="s">
        <v>33</v>
      </c>
      <c r="C17" s="24" t="s">
        <v>42</v>
      </c>
      <c r="D17" s="26" t="s">
        <v>43</v>
      </c>
      <c r="E17" s="18" t="s">
        <v>36</v>
      </c>
      <c r="F17" s="19" t="s">
        <v>37</v>
      </c>
      <c r="G17" s="20"/>
    </row>
    <row r="18" spans="1:7" ht="120" customHeight="1" x14ac:dyDescent="0.3">
      <c r="A18" s="25" t="s">
        <v>44</v>
      </c>
      <c r="B18" s="23" t="s">
        <v>45</v>
      </c>
      <c r="C18" s="25" t="s">
        <v>46</v>
      </c>
      <c r="D18" s="27" t="s">
        <v>47</v>
      </c>
      <c r="E18" s="18" t="s">
        <v>36</v>
      </c>
      <c r="F18" s="19" t="s">
        <v>37</v>
      </c>
      <c r="G18" s="21"/>
    </row>
    <row r="19" spans="1:7" ht="120" customHeight="1" x14ac:dyDescent="0.3">
      <c r="A19" s="24" t="s">
        <v>48</v>
      </c>
      <c r="B19" s="22" t="s">
        <v>45</v>
      </c>
      <c r="C19" s="24" t="s">
        <v>49</v>
      </c>
      <c r="D19" s="26" t="s">
        <v>50</v>
      </c>
      <c r="E19" s="18" t="s">
        <v>36</v>
      </c>
      <c r="F19" s="19" t="s">
        <v>37</v>
      </c>
      <c r="G19" s="20"/>
    </row>
    <row r="20" spans="1:7" ht="120" customHeight="1" x14ac:dyDescent="0.3">
      <c r="A20" s="25" t="s">
        <v>51</v>
      </c>
      <c r="B20" s="23" t="s">
        <v>45</v>
      </c>
      <c r="C20" s="25" t="s">
        <v>52</v>
      </c>
      <c r="D20" s="27" t="s">
        <v>53</v>
      </c>
      <c r="E20" s="18" t="s">
        <v>36</v>
      </c>
      <c r="F20" s="19" t="s">
        <v>37</v>
      </c>
      <c r="G20" s="21"/>
    </row>
    <row r="21" spans="1:7" ht="120" customHeight="1" x14ac:dyDescent="0.3">
      <c r="A21" s="24" t="s">
        <v>54</v>
      </c>
      <c r="B21" s="22" t="s">
        <v>45</v>
      </c>
      <c r="C21" s="24" t="s">
        <v>55</v>
      </c>
      <c r="D21" s="26" t="s">
        <v>56</v>
      </c>
      <c r="E21" s="18" t="s">
        <v>36</v>
      </c>
      <c r="F21" s="19" t="s">
        <v>37</v>
      </c>
      <c r="G21" s="20"/>
    </row>
    <row r="22" spans="1:7" ht="120" customHeight="1" x14ac:dyDescent="0.3">
      <c r="A22" s="25" t="s">
        <v>57</v>
      </c>
      <c r="B22" s="23" t="s">
        <v>45</v>
      </c>
      <c r="C22" s="25" t="s">
        <v>58</v>
      </c>
      <c r="D22" s="27" t="s">
        <v>59</v>
      </c>
      <c r="E22" s="18" t="s">
        <v>36</v>
      </c>
      <c r="F22" s="19" t="s">
        <v>37</v>
      </c>
      <c r="G22" s="21"/>
    </row>
    <row r="23" spans="1:7" ht="120" customHeight="1" x14ac:dyDescent="0.3">
      <c r="A23" s="24" t="s">
        <v>60</v>
      </c>
      <c r="B23" s="22" t="s">
        <v>45</v>
      </c>
      <c r="C23" s="24" t="s">
        <v>61</v>
      </c>
      <c r="D23" s="26" t="s">
        <v>62</v>
      </c>
      <c r="E23" s="18" t="s">
        <v>36</v>
      </c>
      <c r="F23" s="19" t="s">
        <v>37</v>
      </c>
      <c r="G23" s="20"/>
    </row>
    <row r="24" spans="1:7" ht="120" customHeight="1" x14ac:dyDescent="0.3">
      <c r="A24" s="25" t="s">
        <v>63</v>
      </c>
      <c r="B24" s="23" t="s">
        <v>64</v>
      </c>
      <c r="C24" s="25" t="s">
        <v>65</v>
      </c>
      <c r="D24" s="27" t="s">
        <v>66</v>
      </c>
      <c r="E24" s="18" t="s">
        <v>36</v>
      </c>
      <c r="F24" s="19" t="s">
        <v>37</v>
      </c>
      <c r="G24" s="21"/>
    </row>
    <row r="25" spans="1:7" ht="120" customHeight="1" x14ac:dyDescent="0.3">
      <c r="A25" s="24" t="s">
        <v>67</v>
      </c>
      <c r="B25" s="22" t="s">
        <v>64</v>
      </c>
      <c r="C25" s="24" t="s">
        <v>68</v>
      </c>
      <c r="D25" s="26" t="s">
        <v>69</v>
      </c>
      <c r="E25" s="18" t="s">
        <v>36</v>
      </c>
      <c r="F25" s="19" t="s">
        <v>37</v>
      </c>
      <c r="G25" s="20"/>
    </row>
    <row r="26" spans="1:7" ht="120" customHeight="1" x14ac:dyDescent="0.3">
      <c r="A26" s="25" t="s">
        <v>70</v>
      </c>
      <c r="B26" s="23" t="s">
        <v>64</v>
      </c>
      <c r="C26" s="25" t="s">
        <v>71</v>
      </c>
      <c r="D26" s="27" t="s">
        <v>72</v>
      </c>
      <c r="E26" s="18" t="s">
        <v>36</v>
      </c>
      <c r="F26" s="19" t="s">
        <v>37</v>
      </c>
      <c r="G26" s="21"/>
    </row>
    <row r="27" spans="1:7" ht="120" customHeight="1" x14ac:dyDescent="0.3">
      <c r="A27" s="24" t="s">
        <v>73</v>
      </c>
      <c r="B27" s="22" t="s">
        <v>64</v>
      </c>
      <c r="C27" s="24" t="s">
        <v>74</v>
      </c>
      <c r="D27" s="26" t="s">
        <v>75</v>
      </c>
      <c r="E27" s="18" t="s">
        <v>36</v>
      </c>
      <c r="F27" s="19" t="s">
        <v>37</v>
      </c>
      <c r="G27" s="20"/>
    </row>
    <row r="28" spans="1:7" ht="120" customHeight="1" x14ac:dyDescent="0.3">
      <c r="A28" s="25" t="s">
        <v>76</v>
      </c>
      <c r="B28" s="23" t="s">
        <v>77</v>
      </c>
      <c r="C28" s="25" t="s">
        <v>78</v>
      </c>
      <c r="D28" s="27" t="s">
        <v>79</v>
      </c>
      <c r="E28" s="18" t="s">
        <v>36</v>
      </c>
      <c r="F28" s="19" t="s">
        <v>37</v>
      </c>
      <c r="G28" s="21"/>
    </row>
    <row r="29" spans="1:7" ht="120" customHeight="1" x14ac:dyDescent="0.3">
      <c r="A29" s="24" t="s">
        <v>80</v>
      </c>
      <c r="B29" s="22" t="s">
        <v>81</v>
      </c>
      <c r="C29" s="24" t="s">
        <v>82</v>
      </c>
      <c r="D29" s="26" t="s">
        <v>83</v>
      </c>
      <c r="E29" s="18" t="s">
        <v>36</v>
      </c>
      <c r="F29" s="19" t="s">
        <v>37</v>
      </c>
      <c r="G29" s="20"/>
    </row>
    <row r="30" spans="1:7" ht="120" customHeight="1" x14ac:dyDescent="0.3">
      <c r="A30" s="25" t="s">
        <v>84</v>
      </c>
      <c r="B30" s="23" t="s">
        <v>85</v>
      </c>
      <c r="C30" s="25" t="s">
        <v>86</v>
      </c>
      <c r="D30" s="27" t="s">
        <v>87</v>
      </c>
      <c r="E30" s="18" t="s">
        <v>36</v>
      </c>
      <c r="F30" s="19" t="s">
        <v>37</v>
      </c>
      <c r="G30" s="21"/>
    </row>
    <row r="31" spans="1:7" ht="120" customHeight="1" x14ac:dyDescent="0.3">
      <c r="A31" s="24" t="s">
        <v>88</v>
      </c>
      <c r="B31" s="22" t="s">
        <v>89</v>
      </c>
      <c r="C31" s="24" t="s">
        <v>90</v>
      </c>
      <c r="D31" s="26" t="s">
        <v>91</v>
      </c>
      <c r="E31" s="18" t="s">
        <v>36</v>
      </c>
      <c r="F31" s="19" t="s">
        <v>37</v>
      </c>
      <c r="G31" s="20"/>
    </row>
    <row r="32" spans="1:7" ht="120" customHeight="1" x14ac:dyDescent="0.3">
      <c r="A32" s="25" t="s">
        <v>92</v>
      </c>
      <c r="B32" s="23" t="s">
        <v>89</v>
      </c>
      <c r="C32" s="25" t="s">
        <v>93</v>
      </c>
      <c r="D32" s="27" t="s">
        <v>94</v>
      </c>
      <c r="E32" s="18" t="s">
        <v>36</v>
      </c>
      <c r="F32" s="19" t="s">
        <v>37</v>
      </c>
      <c r="G32" s="21"/>
    </row>
    <row r="33" spans="1:7" ht="120" customHeight="1" x14ac:dyDescent="0.3">
      <c r="A33" s="24" t="s">
        <v>95</v>
      </c>
      <c r="B33" s="22" t="s">
        <v>96</v>
      </c>
      <c r="C33" s="24" t="s">
        <v>97</v>
      </c>
      <c r="D33" s="26" t="s">
        <v>98</v>
      </c>
      <c r="E33" s="18" t="s">
        <v>36</v>
      </c>
      <c r="F33" s="19" t="s">
        <v>37</v>
      </c>
      <c r="G33" s="20"/>
    </row>
    <row r="34" spans="1:7" ht="120" customHeight="1" x14ac:dyDescent="0.3">
      <c r="A34" s="25" t="s">
        <v>99</v>
      </c>
      <c r="B34" s="23" t="s">
        <v>100</v>
      </c>
      <c r="C34" s="25" t="s">
        <v>101</v>
      </c>
      <c r="D34" s="27" t="s">
        <v>102</v>
      </c>
      <c r="E34" s="18" t="s">
        <v>36</v>
      </c>
      <c r="F34" s="19" t="s">
        <v>37</v>
      </c>
      <c r="G34" s="21"/>
    </row>
    <row r="35" spans="1:7" ht="120" customHeight="1" x14ac:dyDescent="0.3">
      <c r="A35" s="24" t="s">
        <v>103</v>
      </c>
      <c r="B35" s="22" t="s">
        <v>104</v>
      </c>
      <c r="C35" s="24" t="s">
        <v>105</v>
      </c>
      <c r="D35" s="26" t="s">
        <v>106</v>
      </c>
      <c r="E35" s="18" t="s">
        <v>36</v>
      </c>
      <c r="F35" s="19" t="s">
        <v>37</v>
      </c>
      <c r="G35" s="20"/>
    </row>
    <row r="36" spans="1:7" ht="120" customHeight="1" x14ac:dyDescent="0.3">
      <c r="A36" s="25" t="s">
        <v>107</v>
      </c>
      <c r="B36" s="23" t="s">
        <v>77</v>
      </c>
      <c r="C36" s="25" t="s">
        <v>108</v>
      </c>
      <c r="D36" s="27" t="s">
        <v>109</v>
      </c>
      <c r="E36" s="18" t="s">
        <v>36</v>
      </c>
      <c r="F36" s="19" t="s">
        <v>37</v>
      </c>
      <c r="G36" s="21"/>
    </row>
    <row r="37" spans="1:7" ht="120" customHeight="1" x14ac:dyDescent="0.3">
      <c r="A37" s="24" t="s">
        <v>110</v>
      </c>
      <c r="B37" s="22" t="s">
        <v>111</v>
      </c>
      <c r="C37" s="24" t="s">
        <v>112</v>
      </c>
      <c r="D37" s="26" t="s">
        <v>113</v>
      </c>
      <c r="E37" s="18" t="s">
        <v>36</v>
      </c>
      <c r="F37" s="19" t="s">
        <v>37</v>
      </c>
      <c r="G37" s="20"/>
    </row>
    <row r="38" spans="1:7" ht="120" customHeight="1" x14ac:dyDescent="0.3">
      <c r="A38" s="25" t="s">
        <v>114</v>
      </c>
      <c r="B38" s="23" t="s">
        <v>115</v>
      </c>
      <c r="C38" s="25" t="s">
        <v>116</v>
      </c>
      <c r="D38" s="27" t="s">
        <v>117</v>
      </c>
      <c r="E38" s="18" t="s">
        <v>36</v>
      </c>
      <c r="F38" s="19" t="s">
        <v>37</v>
      </c>
      <c r="G38" s="21"/>
    </row>
    <row r="39" spans="1:7" ht="120" customHeight="1" x14ac:dyDescent="0.3">
      <c r="A39" s="24" t="s">
        <v>118</v>
      </c>
      <c r="B39" s="22" t="s">
        <v>119</v>
      </c>
      <c r="C39" s="24" t="s">
        <v>120</v>
      </c>
      <c r="D39" s="26" t="s">
        <v>121</v>
      </c>
      <c r="E39" s="18" t="s">
        <v>36</v>
      </c>
      <c r="F39" s="19" t="s">
        <v>37</v>
      </c>
      <c r="G39" s="20"/>
    </row>
    <row r="40" spans="1:7" x14ac:dyDescent="0.3">
      <c r="A40" s="31" t="s">
        <v>123</v>
      </c>
      <c r="B40" s="32"/>
      <c r="C40" s="33"/>
      <c r="D40" s="8"/>
      <c r="E40" s="8"/>
      <c r="F40" s="8"/>
      <c r="G40" s="8"/>
    </row>
    <row r="41" spans="1:7" x14ac:dyDescent="0.3">
      <c r="A41" s="28" t="s">
        <v>124</v>
      </c>
      <c r="B41" s="29"/>
      <c r="C41" s="29"/>
      <c r="D41" s="29"/>
      <c r="E41" s="29"/>
      <c r="F41" s="29"/>
      <c r="G41" s="30"/>
    </row>
    <row r="42" spans="1:7" x14ac:dyDescent="0.3">
      <c r="A42" s="28" t="s">
        <v>125</v>
      </c>
      <c r="B42" s="29"/>
      <c r="C42" s="29"/>
      <c r="D42" s="29"/>
      <c r="E42" s="29"/>
      <c r="F42" s="29"/>
      <c r="G42" s="30"/>
    </row>
  </sheetData>
  <mergeCells count="19">
    <mergeCell ref="F5:G5"/>
    <mergeCell ref="F6:G6"/>
    <mergeCell ref="F7:G7"/>
    <mergeCell ref="A42:G42"/>
    <mergeCell ref="A40:C40"/>
    <mergeCell ref="F8:G8"/>
    <mergeCell ref="A41:G41"/>
    <mergeCell ref="A1:G1"/>
    <mergeCell ref="A4:G4"/>
    <mergeCell ref="A2:G2"/>
    <mergeCell ref="A13:G13"/>
    <mergeCell ref="A9:G9"/>
    <mergeCell ref="B5:C5"/>
    <mergeCell ref="B6:C6"/>
    <mergeCell ref="B8:C8"/>
    <mergeCell ref="D5:E5"/>
    <mergeCell ref="D6:E6"/>
    <mergeCell ref="D7:E7"/>
    <mergeCell ref="D8:E8"/>
  </mergeCells>
  <dataValidations count="1">
    <dataValidation type="list" allowBlank="1" sqref="E15:E39" xr:uid="{00000000-0002-0000-0000-000000000000}">
      <formula1>"Cumplido,En Proceso,Pendiente,No Aplica"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baseColWidth="10" defaultColWidth="8.88671875" defaultRowHeight="14.4" x14ac:dyDescent="0.3"/>
  <cols>
    <col min="1" max="1" width="30" customWidth="1"/>
    <col min="2" max="2" width="22" customWidth="1"/>
    <col min="3" max="3" width="16" customWidth="1"/>
    <col min="4" max="4" width="18" customWidth="1"/>
  </cols>
  <sheetData>
    <row r="1" spans="1:4" ht="28.05" customHeight="1" x14ac:dyDescent="0.3">
      <c r="A1" s="42" t="s">
        <v>126</v>
      </c>
      <c r="B1" s="43"/>
      <c r="C1" s="43"/>
      <c r="D1" s="43"/>
    </row>
    <row r="3" spans="1:4" ht="24" customHeight="1" x14ac:dyDescent="0.3">
      <c r="A3" s="2" t="s">
        <v>26</v>
      </c>
      <c r="B3" s="2" t="s">
        <v>127</v>
      </c>
      <c r="C3" s="2" t="s">
        <v>128</v>
      </c>
      <c r="D3" s="2" t="s">
        <v>129</v>
      </c>
    </row>
    <row r="4" spans="1:4" x14ac:dyDescent="0.3">
      <c r="A4" s="3" t="s">
        <v>33</v>
      </c>
      <c r="B4" s="1">
        <f>COUNTIF('Lista de Chequeo Q5'!B15:B39, "Módulo de Ventas")</f>
        <v>3</v>
      </c>
      <c r="C4" s="1">
        <f>COUNTIFS('Lista de Chequeo Q5'!B15:B39, "Módulo de Ventas", 'Lista de Chequeo Q5'!E15:E39, "Cumplido")</f>
        <v>0</v>
      </c>
      <c r="D4" s="4">
        <f t="shared" ref="D4:D18" si="0">IF(B4&gt;0, C4/B4, 0)</f>
        <v>0</v>
      </c>
    </row>
    <row r="5" spans="1:4" x14ac:dyDescent="0.3">
      <c r="A5" s="3" t="s">
        <v>45</v>
      </c>
      <c r="B5" s="1">
        <f>COUNTIF('Lista de Chequeo Q5'!B15:B39, "Reportes y Facturación")</f>
        <v>6</v>
      </c>
      <c r="C5" s="1">
        <f>COUNTIFS('Lista de Chequeo Q5'!B15:B39, "Reportes y Facturación", 'Lista de Chequeo Q5'!E15:E39, "Cumplido")</f>
        <v>0</v>
      </c>
      <c r="D5" s="4">
        <f t="shared" si="0"/>
        <v>0</v>
      </c>
    </row>
    <row r="6" spans="1:4" x14ac:dyDescent="0.3">
      <c r="A6" s="3" t="s">
        <v>64</v>
      </c>
      <c r="B6" s="1">
        <f>COUNTIF('Lista de Chequeo Q5'!B15:B39, "Dashboards y Analítica")</f>
        <v>4</v>
      </c>
      <c r="C6" s="1">
        <f>COUNTIFS('Lista de Chequeo Q5'!B15:B39, "Dashboards y Analítica", 'Lista de Chequeo Q5'!E15:E39, "Cumplido")</f>
        <v>0</v>
      </c>
      <c r="D6" s="4">
        <f t="shared" si="0"/>
        <v>0</v>
      </c>
    </row>
    <row r="7" spans="1:4" x14ac:dyDescent="0.3">
      <c r="A7" s="3" t="s">
        <v>77</v>
      </c>
      <c r="B7" s="1">
        <f>COUNTIF('Lista de Chequeo Q5'!B15:B39, "Backend FastAPI")</f>
        <v>2</v>
      </c>
      <c r="C7" s="1">
        <f>COUNTIFS('Lista de Chequeo Q5'!B15:B39, "Backend FastAPI", 'Lista de Chequeo Q5'!E15:E39, "Cumplido")</f>
        <v>0</v>
      </c>
      <c r="D7" s="4">
        <f t="shared" si="0"/>
        <v>0</v>
      </c>
    </row>
    <row r="8" spans="1:4" x14ac:dyDescent="0.3">
      <c r="A8" s="3" t="s">
        <v>81</v>
      </c>
      <c r="B8" s="1">
        <f>COUNTIF('Lista de Chequeo Q5'!B15:B39, "Backend &amp; Frontend")</f>
        <v>1</v>
      </c>
      <c r="C8" s="1">
        <f>COUNTIFS('Lista de Chequeo Q5'!B15:B39, "Backend &amp; Frontend", 'Lista de Chequeo Q5'!E15:E39, "Cumplido")</f>
        <v>0</v>
      </c>
      <c r="D8" s="4">
        <f t="shared" si="0"/>
        <v>0</v>
      </c>
    </row>
    <row r="9" spans="1:4" x14ac:dyDescent="0.3">
      <c r="A9" s="3" t="s">
        <v>85</v>
      </c>
      <c r="B9" s="1">
        <f>COUNTIF('Lista de Chequeo Q5'!B15:B39, "Módulo PQR")</f>
        <v>1</v>
      </c>
      <c r="C9" s="1">
        <f>COUNTIFS('Lista de Chequeo Q5'!B15:B39, "Módulo PQR", 'Lista de Chequeo Q5'!E15:E39, "Cumplido")</f>
        <v>0</v>
      </c>
      <c r="D9" s="4">
        <f t="shared" si="0"/>
        <v>0</v>
      </c>
    </row>
    <row r="10" spans="1:4" x14ac:dyDescent="0.3">
      <c r="A10" s="3" t="s">
        <v>89</v>
      </c>
      <c r="B10" s="1">
        <f>COUNTIF('Lista de Chequeo Q5'!B15:B39, "Chatbot &amp; IA")</f>
        <v>2</v>
      </c>
      <c r="C10" s="1">
        <f>COUNTIFS('Lista de Chequeo Q5'!B15:B39, "Chatbot &amp; IA", 'Lista de Chequeo Q5'!E15:E39, "Cumplido")</f>
        <v>0</v>
      </c>
      <c r="D10" s="4">
        <f t="shared" si="0"/>
        <v>0</v>
      </c>
    </row>
    <row r="11" spans="1:4" x14ac:dyDescent="0.3">
      <c r="A11" s="3" t="s">
        <v>96</v>
      </c>
      <c r="B11" s="1">
        <f>COUNTIF('Lista de Chequeo Q5'!B15:B39, "Seguridad &amp; Config")</f>
        <v>1</v>
      </c>
      <c r="C11" s="1">
        <f>COUNTIFS('Lista de Chequeo Q5'!B15:B39, "Seguridad &amp; Config", 'Lista de Chequeo Q5'!E15:E39, "Cumplido")</f>
        <v>0</v>
      </c>
      <c r="D11" s="4">
        <f t="shared" si="0"/>
        <v>0</v>
      </c>
    </row>
    <row r="12" spans="1:4" x14ac:dyDescent="0.3">
      <c r="A12" s="3" t="s">
        <v>100</v>
      </c>
      <c r="B12" s="1">
        <f>COUNTIF('Lista de Chequeo Q5'!B15:B39, "Despliegue en la Nube")</f>
        <v>1</v>
      </c>
      <c r="C12" s="1">
        <f>COUNTIFS('Lista de Chequeo Q5'!B15:B39, "Despliegue en la Nube", 'Lista de Chequeo Q5'!E15:E39, "Cumplido")</f>
        <v>0</v>
      </c>
      <c r="D12" s="4">
        <f t="shared" si="0"/>
        <v>0</v>
      </c>
    </row>
    <row r="13" spans="1:4" x14ac:dyDescent="0.3">
      <c r="A13" s="3" t="s">
        <v>104</v>
      </c>
      <c r="B13" s="1">
        <f>COUNTIF('Lista de Chequeo Q5'!B15:B39, "Base de Datos SQL")</f>
        <v>1</v>
      </c>
      <c r="C13" s="1">
        <f>COUNTIFS('Lista de Chequeo Q5'!B15:B39, "Base de Datos SQL", 'Lista de Chequeo Q5'!E15:E39, "Cumplido")</f>
        <v>0</v>
      </c>
      <c r="D13" s="4">
        <f t="shared" si="0"/>
        <v>0</v>
      </c>
    </row>
    <row r="14" spans="1:4" x14ac:dyDescent="0.3">
      <c r="A14" s="3" t="s">
        <v>111</v>
      </c>
      <c r="B14" s="1">
        <f>COUNTIF('Lista de Chequeo Q5'!B15:B39, "Frontend React")</f>
        <v>1</v>
      </c>
      <c r="C14" s="1">
        <f>COUNTIFS('Lista de Chequeo Q5'!B15:B39, "Frontend React", 'Lista de Chequeo Q5'!E15:E39, "Cumplido")</f>
        <v>0</v>
      </c>
      <c r="D14" s="4">
        <f t="shared" si="0"/>
        <v>0</v>
      </c>
    </row>
    <row r="15" spans="1:4" x14ac:dyDescent="0.3">
      <c r="A15" s="3" t="s">
        <v>115</v>
      </c>
      <c r="B15" s="1">
        <f>COUNTIF('Lista de Chequeo Q5'!B15:B39, "Seguridad")</f>
        <v>1</v>
      </c>
      <c r="C15" s="1">
        <f>COUNTIFS('Lista de Chequeo Q5'!B15:B39, "Seguridad", 'Lista de Chequeo Q5'!E15:E39, "Cumplido")</f>
        <v>0</v>
      </c>
      <c r="D15" s="4">
        <f t="shared" si="0"/>
        <v>0</v>
      </c>
    </row>
    <row r="16" spans="1:4" x14ac:dyDescent="0.3">
      <c r="A16" s="3" t="s">
        <v>119</v>
      </c>
      <c r="B16" s="1">
        <f>COUNTIF('Lista de Chequeo Q5'!B15:B39, "Pruebas &amp; Evidencias")</f>
        <v>1</v>
      </c>
      <c r="C16" s="1">
        <f>COUNTIFS('Lista de Chequeo Q5'!B15:B39, "Pruebas &amp; Evidencias", 'Lista de Chequeo Q5'!E15:E39, "Cumplido")</f>
        <v>0</v>
      </c>
      <c r="D16" s="4">
        <f t="shared" si="0"/>
        <v>0</v>
      </c>
    </row>
    <row r="17" spans="1:4" x14ac:dyDescent="0.3">
      <c r="A17" s="3" t="s">
        <v>122</v>
      </c>
      <c r="B17" s="1">
        <f>COUNTIF('Lista de Chequeo Q5'!B15:B39, "Documentación")</f>
        <v>0</v>
      </c>
      <c r="C17" s="1">
        <f>COUNTIFS('Lista de Chequeo Q5'!B15:B39, "Documentación", 'Lista de Chequeo Q5'!E15:E39, "Cumplido")</f>
        <v>0</v>
      </c>
      <c r="D17" s="4">
        <f t="shared" si="0"/>
        <v>0</v>
      </c>
    </row>
    <row r="18" spans="1:4" x14ac:dyDescent="0.3">
      <c r="A18" s="5" t="s">
        <v>130</v>
      </c>
      <c r="B18" s="6">
        <f>SUM(B4:B17)</f>
        <v>25</v>
      </c>
      <c r="C18" s="6">
        <f>SUM(C4:C17)</f>
        <v>0</v>
      </c>
      <c r="D18" s="7">
        <f t="shared" si="0"/>
        <v>0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Chequeo Q5</vt:lpstr>
      <vt:lpstr>Resumen por Categoría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JhanHader Munoz Bermudez</cp:lastModifiedBy>
  <dcterms:created xsi:type="dcterms:W3CDTF">2026-09-14T19:38:56Z</dcterms:created>
  <dcterms:modified xsi:type="dcterms:W3CDTF">2026-09-16T20:20:45Z</dcterms:modified>
</cp:coreProperties>
</file>